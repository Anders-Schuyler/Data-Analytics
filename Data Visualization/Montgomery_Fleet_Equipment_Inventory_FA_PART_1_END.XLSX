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\OneDrive\Documents\Work\Data Analytics\"/>
    </mc:Choice>
  </mc:AlternateContent>
  <xr:revisionPtr revIDLastSave="0" documentId="13_ncr:9_{169C280E-A109-4ED8-A300-9F0C203DDD1F}" xr6:coauthVersionLast="47" xr6:coauthVersionMax="47" xr10:uidLastSave="{00000000-0000-0000-0000-000000000000}"/>
  <bookViews>
    <workbookView xWindow="-105" yWindow="0" windowWidth="26010" windowHeight="20985" activeTab="3" xr2:uid="{73FFA073-A301-4E2C-B11A-62487D7F74BE}"/>
  </bookViews>
  <sheets>
    <sheet name="Montgomery_Fleet_Equipment_Inve" sheetId="1" r:id="rId1"/>
    <sheet name="Pivot Table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Montgomery_Fleet_Equipment_Inve!$A$1:$C$58</definedName>
  </definedNames>
  <calcPr calcId="0"/>
  <pivotCaches>
    <pivotCache cacheId="6" r:id="rId5"/>
  </pivotCaches>
</workbook>
</file>

<file path=xl/calcChain.xml><?xml version="1.0" encoding="utf-8"?>
<calcChain xmlns="http://schemas.openxmlformats.org/spreadsheetml/2006/main">
  <c r="F7" i="1" l="1"/>
  <c r="F6" i="1"/>
  <c r="F5" i="1"/>
  <c r="F4" i="1"/>
  <c r="F3" i="1"/>
</calcChain>
</file>

<file path=xl/sharedStrings.xml><?xml version="1.0" encoding="utf-8"?>
<sst xmlns="http://schemas.openxmlformats.org/spreadsheetml/2006/main" count="179" uniqueCount="41">
  <si>
    <t>Department</t>
  </si>
  <si>
    <t>Equipment Class</t>
  </si>
  <si>
    <t>Equipment Count</t>
  </si>
  <si>
    <t>Van</t>
  </si>
  <si>
    <t>Off Road VehicleEquipment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</si>
  <si>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</si>
  <si>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</si>
  <si>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</si>
  <si>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</si>
  <si>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</si>
  <si>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</si>
  <si>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</si>
  <si>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</si>
  <si>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</si>
  <si>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</si>
  <si>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</si>
  <si>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</si>
  <si>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</si>
  <si>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</si>
  <si>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</si>
  <si>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</si>
  <si>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</si>
  <si>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</si>
  <si>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</si>
  <si>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</si>
  <si>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</si>
  <si>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</si>
  <si>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</si>
  <si>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</si>
  <si>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</si>
  <si>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</si>
  <si>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SUM:</t>
  </si>
  <si>
    <t>AVERAGE:</t>
  </si>
  <si>
    <t>MIN:</t>
  </si>
  <si>
    <t>MAX:</t>
  </si>
  <si>
    <t>COUNT:</t>
  </si>
  <si>
    <t>AutoSum</t>
  </si>
  <si>
    <t>Row Labels</t>
  </si>
  <si>
    <t>Grand Total</t>
  </si>
  <si>
    <t>Sum of Equipment Count</t>
  </si>
  <si>
    <t>Off Road Vehicle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</si>
</sst>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 Schuyler" refreshedDate="45540.645007638886" createdVersion="8" refreshedVersion="8" minRefreshableVersion="3" recordCount="53" xr:uid="{39179177-22A8-47AD-9BD5-9A7C044CA4C8}">
  <cacheSource type="worksheet">
    <worksheetSource name="Table1"/>
  </cacheSource>
  <cacheFields count="3">
    <cacheField name="Department" numFmtId="0">
      <sharedItems count="13">
        <s v="Board of Elections"/>
        <s v="Circuit Court"/>
        <s v="Community Engagement Cluster"/>
        <s v="Community Use of Public Facilities"/>
        <s v="Consumer Protection"/>
        <s v="Correction and Rehabilitation"/>
        <s v="County Executives Office"/>
        <s v="Economic Development"/>
        <s v="Environmental Protection"/>
        <s v="Finance "/>
        <s v="Fire and Rescue"/>
        <s v="General Services"/>
        <s v="Health and Human Services"/>
      </sharedItems>
    </cacheField>
    <cacheField name="Equipment Class" numFmtId="0">
      <sharedItems count="15">
        <s v="Van"/>
        <s v="Off Road VehicleEquipment"/>
        <s v="SUV"/>
        <s v="Pick Up Trucks"/>
        <s v="Sedan"/>
        <s v="Public Safety Sedan"/>
        <s v="Public Safety SUV"/>
        <s v="CUV"/>
        <s v="Medium Duty"/>
        <s v="Public Safety Pick Up Trucks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5"/>
    <x v="5"/>
    <n v="1"/>
  </r>
  <r>
    <x v="5"/>
    <x v="6"/>
    <n v="2"/>
  </r>
  <r>
    <x v="5"/>
    <x v="2"/>
    <n v="3"/>
  </r>
  <r>
    <x v="5"/>
    <x v="3"/>
    <n v="1"/>
  </r>
  <r>
    <x v="5"/>
    <x v="0"/>
    <n v="8"/>
  </r>
  <r>
    <x v="5"/>
    <x v="4"/>
    <n v="10"/>
  </r>
  <r>
    <x v="5"/>
    <x v="7"/>
    <n v="1"/>
  </r>
  <r>
    <x v="6"/>
    <x v="4"/>
    <n v="2"/>
  </r>
  <r>
    <x v="6"/>
    <x v="6"/>
    <n v="3"/>
  </r>
  <r>
    <x v="7"/>
    <x v="2"/>
    <n v="1"/>
  </r>
  <r>
    <x v="8"/>
    <x v="2"/>
    <n v="18"/>
  </r>
  <r>
    <x v="8"/>
    <x v="4"/>
    <n v="15"/>
  </r>
  <r>
    <x v="8"/>
    <x v="0"/>
    <n v="3"/>
  </r>
  <r>
    <x v="8"/>
    <x v="7"/>
    <n v="1"/>
  </r>
  <r>
    <x v="8"/>
    <x v="8"/>
    <n v="2"/>
  </r>
  <r>
    <x v="8"/>
    <x v="3"/>
    <n v="33"/>
  </r>
  <r>
    <x v="9"/>
    <x v="4"/>
    <n v="3"/>
  </r>
  <r>
    <x v="10"/>
    <x v="6"/>
    <n v="27"/>
  </r>
  <r>
    <x v="10"/>
    <x v="9"/>
    <n v="12"/>
  </r>
  <r>
    <x v="10"/>
    <x v="5"/>
    <n v="18"/>
  </r>
  <r>
    <x v="10"/>
    <x v="10"/>
    <n v="11"/>
  </r>
  <r>
    <x v="10"/>
    <x v="2"/>
    <n v="6"/>
  </r>
  <r>
    <x v="10"/>
    <x v="0"/>
    <n v="4"/>
  </r>
  <r>
    <x v="10"/>
    <x v="1"/>
    <n v="2"/>
  </r>
  <r>
    <x v="10"/>
    <x v="3"/>
    <n v="12"/>
  </r>
  <r>
    <x v="10"/>
    <x v="4"/>
    <n v="1"/>
  </r>
  <r>
    <x v="10"/>
    <x v="11"/>
    <n v="4"/>
  </r>
  <r>
    <x v="10"/>
    <x v="12"/>
    <n v="1"/>
  </r>
  <r>
    <x v="10"/>
    <x v="13"/>
    <n v="1"/>
  </r>
  <r>
    <x v="10"/>
    <x v="14"/>
    <n v="1"/>
  </r>
  <r>
    <x v="11"/>
    <x v="10"/>
    <n v="1"/>
  </r>
  <r>
    <x v="11"/>
    <x v="2"/>
    <n v="21"/>
  </r>
  <r>
    <x v="11"/>
    <x v="12"/>
    <n v="1"/>
  </r>
  <r>
    <x v="11"/>
    <x v="1"/>
    <n v="45"/>
  </r>
  <r>
    <x v="11"/>
    <x v="4"/>
    <n v="31"/>
  </r>
  <r>
    <x v="11"/>
    <x v="8"/>
    <n v="3"/>
  </r>
  <r>
    <x v="11"/>
    <x v="0"/>
    <n v="42"/>
  </r>
  <r>
    <x v="11"/>
    <x v="7"/>
    <n v="5"/>
  </r>
  <r>
    <x v="11"/>
    <x v="13"/>
    <n v="5"/>
  </r>
  <r>
    <x v="11"/>
    <x v="3"/>
    <n v="48"/>
  </r>
  <r>
    <x v="12"/>
    <x v="7"/>
    <n v="5"/>
  </r>
  <r>
    <x v="12"/>
    <x v="0"/>
    <n v="15"/>
  </r>
  <r>
    <x v="12"/>
    <x v="6"/>
    <n v="1"/>
  </r>
  <r>
    <x v="12"/>
    <x v="4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FD5BE-3FF4-43EF-8DA5-98713C82CE33}" name="Department Sum of Equipmen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4">
    <i>
      <x v="11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1172B-F864-4FAB-B852-249EBFE58F9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3">
    <pivotField axis="axisRow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7"/>
        <item x="13"/>
        <item x="8"/>
        <item x="1"/>
        <item x="3"/>
        <item x="11"/>
        <item x="12"/>
        <item x="9"/>
        <item x="5"/>
        <item x="6"/>
        <item x="10"/>
        <item x="4"/>
        <item x="2"/>
        <item x="14"/>
        <item x="0"/>
        <item t="default"/>
      </items>
    </pivotField>
    <pivotField dataField="1" showAll="0"/>
  </pivotFields>
  <rowFields count="2">
    <field x="0"/>
    <field x="1"/>
  </rowFields>
  <rowItems count="24">
    <i>
      <x v="11"/>
    </i>
    <i r="1">
      <x/>
    </i>
    <i r="1">
      <x v="1"/>
    </i>
    <i r="1">
      <x v="2"/>
    </i>
    <i r="1">
      <x v="3"/>
    </i>
    <i r="1">
      <x v="4"/>
    </i>
    <i r="1">
      <x v="6"/>
    </i>
    <i r="1">
      <x v="10"/>
    </i>
    <i r="1">
      <x v="11"/>
    </i>
    <i r="1">
      <x v="12"/>
    </i>
    <i r="1">
      <x v="14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BF849-4FE2-400F-BED7-2AD99C9F0D6E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7"/>
        <item sd="0" x="13"/>
        <item sd="0" x="8"/>
        <item sd="0" x="1"/>
        <item sd="0" x="3"/>
        <item sd="0" x="11"/>
        <item sd="0" x="12"/>
        <item sd="0" x="9"/>
        <item sd="0" x="5"/>
        <item sd="0" x="6"/>
        <item sd="0" x="10"/>
        <item sd="0" x="4"/>
        <item sd="0" x="2"/>
        <item sd="0" x="14"/>
        <item sd="0" x="0"/>
        <item t="default"/>
      </items>
    </pivotField>
    <pivotField dataField="1" showAll="0"/>
  </pivotFields>
  <rowFields count="2">
    <field x="1"/>
    <field x="0"/>
  </rowFields>
  <rowItems count="20">
    <i>
      <x/>
    </i>
    <i r="1">
      <x v="12"/>
    </i>
    <i r="1">
      <x v="11"/>
    </i>
    <i r="1">
      <x v="5"/>
    </i>
    <i r="1">
      <x v="8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4EFC8-A3A5-46E6-991C-28076CE7BE35}" name="Table1" displayName="Table1" ref="A1:C54" totalsRowShown="0">
  <autoFilter ref="A1:C54" xr:uid="{6884EFC8-A3A5-46E6-991C-28076CE7BE35}"/>
  <tableColumns count="3">
    <tableColumn id="1" xr3:uid="{02100635-80F2-4402-AEE4-0CC446D40229}" name="Department"/>
    <tableColumn id="2" xr3:uid="{5B60F064-CA7E-46E5-A922-76C712084A47}" name="Equipment Class"/>
    <tableColumn id="3" xr3:uid="{38FB6593-4D89-4780-9F58-A22D6C7BCC62}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8188-562D-4783-88EE-8C883B946A34}">
  <dimension ref="A1:F54"/>
  <sheetViews>
    <sheetView workbookViewId="0">
      <selection activeCell="B15" sqref="B15"/>
    </sheetView>
  </sheetViews>
  <sheetFormatPr defaultRowHeight="15" x14ac:dyDescent="0.25"/>
  <cols>
    <col min="1" max="1" width="32" bestFit="1" customWidth="1"/>
    <col min="2" max="2" width="26" bestFit="1" customWidth="1"/>
    <col min="3" max="3" width="18.140625" customWidth="1"/>
    <col min="6" max="6" width="5.57031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t="s">
        <v>18</v>
      </c>
      <c r="B2" t="s">
        <v>3</v>
      </c>
      <c r="C2">
        <v>1</v>
      </c>
      <c r="E2" s="4" t="s">
        <v>36</v>
      </c>
      <c r="F2" s="5"/>
    </row>
    <row r="3" spans="1:6" x14ac:dyDescent="0.25">
      <c r="A3" t="s">
        <v>18</v>
      </c>
      <c r="B3" t="s">
        <v>40</v>
      </c>
      <c r="C3">
        <v>2</v>
      </c>
      <c r="E3" s="6" t="s">
        <v>31</v>
      </c>
      <c r="F3" s="1">
        <f>SUM(C2:C54)</f>
        <v>531</v>
      </c>
    </row>
    <row r="4" spans="1:6" x14ac:dyDescent="0.25">
      <c r="A4" t="s">
        <v>19</v>
      </c>
      <c r="B4" t="s">
        <v>5</v>
      </c>
      <c r="C4">
        <v>1</v>
      </c>
      <c r="E4" s="7" t="s">
        <v>32</v>
      </c>
      <c r="F4" s="2">
        <f>AVERAGE(Table1[Equipment Count])</f>
        <v>10.018867924528301</v>
      </c>
    </row>
    <row r="5" spans="1:6" x14ac:dyDescent="0.25">
      <c r="A5" t="s">
        <v>20</v>
      </c>
      <c r="B5" t="s">
        <v>7</v>
      </c>
      <c r="C5">
        <v>8</v>
      </c>
      <c r="E5" s="7" t="s">
        <v>33</v>
      </c>
      <c r="F5" s="1">
        <f>MIN(Table1[Equipment Count])</f>
        <v>1</v>
      </c>
    </row>
    <row r="6" spans="1:6" x14ac:dyDescent="0.25">
      <c r="A6" t="s">
        <v>20</v>
      </c>
      <c r="B6" t="s">
        <v>40</v>
      </c>
      <c r="C6">
        <v>7</v>
      </c>
      <c r="E6" s="7" t="s">
        <v>34</v>
      </c>
      <c r="F6" s="1">
        <f>MAX(Table1[Equipment Count])</f>
        <v>75</v>
      </c>
    </row>
    <row r="7" spans="1:6" x14ac:dyDescent="0.25">
      <c r="A7" t="s">
        <v>20</v>
      </c>
      <c r="B7" t="s">
        <v>5</v>
      </c>
      <c r="C7">
        <v>2</v>
      </c>
      <c r="E7" s="8" t="s">
        <v>35</v>
      </c>
      <c r="F7" s="3">
        <f>COUNT(Table1[Equipment Count])</f>
        <v>53</v>
      </c>
    </row>
    <row r="8" spans="1:6" x14ac:dyDescent="0.25">
      <c r="A8" t="s">
        <v>21</v>
      </c>
      <c r="B8" t="s">
        <v>6</v>
      </c>
      <c r="C8">
        <v>1</v>
      </c>
    </row>
    <row r="9" spans="1:6" x14ac:dyDescent="0.25">
      <c r="A9" t="s">
        <v>22</v>
      </c>
      <c r="B9" t="s">
        <v>6</v>
      </c>
      <c r="C9">
        <v>1</v>
      </c>
    </row>
    <row r="10" spans="1:6" x14ac:dyDescent="0.25">
      <c r="A10" t="s">
        <v>23</v>
      </c>
      <c r="B10" t="s">
        <v>40</v>
      </c>
      <c r="C10">
        <v>3</v>
      </c>
    </row>
    <row r="11" spans="1:6" x14ac:dyDescent="0.25">
      <c r="A11" t="s">
        <v>23</v>
      </c>
      <c r="B11" t="s">
        <v>12</v>
      </c>
      <c r="C11">
        <v>1</v>
      </c>
    </row>
    <row r="12" spans="1:6" x14ac:dyDescent="0.25">
      <c r="A12" t="s">
        <v>23</v>
      </c>
      <c r="B12" t="s">
        <v>9</v>
      </c>
      <c r="C12">
        <v>2</v>
      </c>
    </row>
    <row r="13" spans="1:6" x14ac:dyDescent="0.25">
      <c r="A13" t="s">
        <v>23</v>
      </c>
      <c r="B13" t="s">
        <v>5</v>
      </c>
      <c r="C13">
        <v>3</v>
      </c>
    </row>
    <row r="14" spans="1:6" x14ac:dyDescent="0.25">
      <c r="A14" t="s">
        <v>23</v>
      </c>
      <c r="B14" t="s">
        <v>7</v>
      </c>
      <c r="C14">
        <v>1</v>
      </c>
    </row>
    <row r="15" spans="1:6" x14ac:dyDescent="0.25">
      <c r="A15" t="s">
        <v>23</v>
      </c>
      <c r="B15" t="s">
        <v>3</v>
      </c>
      <c r="C15">
        <v>8</v>
      </c>
    </row>
    <row r="16" spans="1:6" x14ac:dyDescent="0.25">
      <c r="A16" t="s">
        <v>23</v>
      </c>
      <c r="B16" t="s">
        <v>6</v>
      </c>
      <c r="C16">
        <v>10</v>
      </c>
    </row>
    <row r="17" spans="1:3" x14ac:dyDescent="0.25">
      <c r="A17" t="s">
        <v>23</v>
      </c>
      <c r="B17" t="s">
        <v>8</v>
      </c>
      <c r="C17">
        <v>1</v>
      </c>
    </row>
    <row r="18" spans="1:3" x14ac:dyDescent="0.25">
      <c r="A18" t="s">
        <v>24</v>
      </c>
      <c r="B18" t="s">
        <v>6</v>
      </c>
      <c r="C18">
        <v>2</v>
      </c>
    </row>
    <row r="19" spans="1:3" x14ac:dyDescent="0.25">
      <c r="A19" t="s">
        <v>24</v>
      </c>
      <c r="B19" t="s">
        <v>9</v>
      </c>
      <c r="C19">
        <v>3</v>
      </c>
    </row>
    <row r="20" spans="1:3" x14ac:dyDescent="0.25">
      <c r="A20" t="s">
        <v>25</v>
      </c>
      <c r="B20" t="s">
        <v>5</v>
      </c>
      <c r="C20">
        <v>1</v>
      </c>
    </row>
    <row r="21" spans="1:3" x14ac:dyDescent="0.25">
      <c r="A21" t="s">
        <v>26</v>
      </c>
      <c r="B21" t="s">
        <v>5</v>
      </c>
      <c r="C21">
        <v>18</v>
      </c>
    </row>
    <row r="22" spans="1:3" x14ac:dyDescent="0.25">
      <c r="A22" t="s">
        <v>26</v>
      </c>
      <c r="B22" t="s">
        <v>6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8</v>
      </c>
      <c r="C24">
        <v>1</v>
      </c>
    </row>
    <row r="25" spans="1:3" x14ac:dyDescent="0.25">
      <c r="A25" t="s">
        <v>26</v>
      </c>
      <c r="B25" t="s">
        <v>10</v>
      </c>
      <c r="C25">
        <v>2</v>
      </c>
    </row>
    <row r="26" spans="1:3" x14ac:dyDescent="0.25">
      <c r="A26" t="s">
        <v>26</v>
      </c>
      <c r="B26" t="s">
        <v>7</v>
      </c>
      <c r="C26">
        <v>33</v>
      </c>
    </row>
    <row r="27" spans="1:3" x14ac:dyDescent="0.25">
      <c r="A27" t="s">
        <v>27</v>
      </c>
      <c r="B27" t="s">
        <v>6</v>
      </c>
      <c r="C27">
        <v>3</v>
      </c>
    </row>
    <row r="28" spans="1:3" x14ac:dyDescent="0.25">
      <c r="A28" t="s">
        <v>28</v>
      </c>
      <c r="B28" t="s">
        <v>9</v>
      </c>
      <c r="C28">
        <v>27</v>
      </c>
    </row>
    <row r="29" spans="1:3" x14ac:dyDescent="0.25">
      <c r="A29" t="s">
        <v>28</v>
      </c>
      <c r="B29" t="s">
        <v>11</v>
      </c>
      <c r="C29">
        <v>12</v>
      </c>
    </row>
    <row r="30" spans="1:3" x14ac:dyDescent="0.25">
      <c r="A30" t="s">
        <v>28</v>
      </c>
      <c r="B30" t="s">
        <v>12</v>
      </c>
      <c r="C30">
        <v>18</v>
      </c>
    </row>
    <row r="31" spans="1:3" x14ac:dyDescent="0.25">
      <c r="A31" t="s">
        <v>28</v>
      </c>
      <c r="B31" t="s">
        <v>13</v>
      </c>
      <c r="C31">
        <v>11</v>
      </c>
    </row>
    <row r="32" spans="1:3" x14ac:dyDescent="0.25">
      <c r="A32" t="s">
        <v>28</v>
      </c>
      <c r="B32" t="s">
        <v>5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40</v>
      </c>
      <c r="C34">
        <v>2</v>
      </c>
    </row>
    <row r="35" spans="1:3" x14ac:dyDescent="0.25">
      <c r="A35" t="s">
        <v>28</v>
      </c>
      <c r="B35" t="s">
        <v>7</v>
      </c>
      <c r="C35">
        <v>12</v>
      </c>
    </row>
    <row r="36" spans="1:3" x14ac:dyDescent="0.25">
      <c r="A36" t="s">
        <v>28</v>
      </c>
      <c r="B36" t="s">
        <v>6</v>
      </c>
      <c r="C36">
        <v>1</v>
      </c>
    </row>
    <row r="37" spans="1:3" x14ac:dyDescent="0.25">
      <c r="A37" t="s">
        <v>28</v>
      </c>
      <c r="B37" t="s">
        <v>14</v>
      </c>
      <c r="C37">
        <v>4</v>
      </c>
    </row>
    <row r="38" spans="1:3" x14ac:dyDescent="0.25">
      <c r="A38" t="s">
        <v>28</v>
      </c>
      <c r="B38" t="s">
        <v>15</v>
      </c>
      <c r="C38">
        <v>1</v>
      </c>
    </row>
    <row r="39" spans="1:3" x14ac:dyDescent="0.25">
      <c r="A39" t="s">
        <v>28</v>
      </c>
      <c r="B39" t="s">
        <v>16</v>
      </c>
      <c r="C39">
        <v>1</v>
      </c>
    </row>
    <row r="40" spans="1:3" x14ac:dyDescent="0.25">
      <c r="A40" t="s">
        <v>28</v>
      </c>
      <c r="B40" t="s">
        <v>17</v>
      </c>
      <c r="C40">
        <v>1</v>
      </c>
    </row>
    <row r="41" spans="1:3" x14ac:dyDescent="0.25">
      <c r="A41" t="s">
        <v>29</v>
      </c>
      <c r="B41" t="s">
        <v>13</v>
      </c>
      <c r="C41">
        <v>1</v>
      </c>
    </row>
    <row r="42" spans="1:3" x14ac:dyDescent="0.25">
      <c r="A42" t="s">
        <v>29</v>
      </c>
      <c r="B42" t="s">
        <v>5</v>
      </c>
      <c r="C42">
        <v>21</v>
      </c>
    </row>
    <row r="43" spans="1:3" x14ac:dyDescent="0.25">
      <c r="A43" t="s">
        <v>29</v>
      </c>
      <c r="B43" t="s">
        <v>15</v>
      </c>
      <c r="C43">
        <v>1</v>
      </c>
    </row>
    <row r="44" spans="1:3" x14ac:dyDescent="0.25">
      <c r="A44" t="s">
        <v>29</v>
      </c>
      <c r="B44" t="s">
        <v>40</v>
      </c>
      <c r="C44">
        <v>45</v>
      </c>
    </row>
    <row r="45" spans="1:3" x14ac:dyDescent="0.25">
      <c r="A45" t="s">
        <v>29</v>
      </c>
      <c r="B45" t="s">
        <v>6</v>
      </c>
      <c r="C45">
        <v>31</v>
      </c>
    </row>
    <row r="46" spans="1:3" x14ac:dyDescent="0.25">
      <c r="A46" t="s">
        <v>29</v>
      </c>
      <c r="B46" t="s">
        <v>10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8</v>
      </c>
      <c r="C48">
        <v>5</v>
      </c>
    </row>
    <row r="49" spans="1:3" x14ac:dyDescent="0.25">
      <c r="A49" t="s">
        <v>29</v>
      </c>
      <c r="B49" t="s">
        <v>16</v>
      </c>
      <c r="C49">
        <v>5</v>
      </c>
    </row>
    <row r="50" spans="1:3" x14ac:dyDescent="0.25">
      <c r="A50" t="s">
        <v>29</v>
      </c>
      <c r="B50" t="s">
        <v>7</v>
      </c>
      <c r="C50">
        <v>48</v>
      </c>
    </row>
    <row r="51" spans="1:3" x14ac:dyDescent="0.25">
      <c r="A51" t="s">
        <v>30</v>
      </c>
      <c r="B51" t="s">
        <v>8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9</v>
      </c>
      <c r="C53">
        <v>1</v>
      </c>
    </row>
    <row r="54" spans="1:3" x14ac:dyDescent="0.25">
      <c r="A54" t="s">
        <v>30</v>
      </c>
      <c r="B54" t="s">
        <v>6</v>
      </c>
      <c r="C54">
        <v>75</v>
      </c>
    </row>
  </sheetData>
  <mergeCells count="1">
    <mergeCell ref="E2:F2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8DAB-2A74-473D-A6ED-62E9EBAA9E0C}">
  <dimension ref="A3:B17"/>
  <sheetViews>
    <sheetView workbookViewId="0">
      <selection activeCell="B5" sqref="B5"/>
    </sheetView>
  </sheetViews>
  <sheetFormatPr defaultRowHeight="15" x14ac:dyDescent="0.25"/>
  <cols>
    <col min="1" max="1" width="32" bestFit="1" customWidth="1"/>
    <col min="2" max="2" width="24" bestFit="1" customWidth="1"/>
  </cols>
  <sheetData>
    <row r="3" spans="1:2" x14ac:dyDescent="0.25">
      <c r="A3" s="9" t="s">
        <v>37</v>
      </c>
      <c r="B3" t="s">
        <v>39</v>
      </c>
    </row>
    <row r="4" spans="1:2" x14ac:dyDescent="0.25">
      <c r="A4" s="10" t="s">
        <v>29</v>
      </c>
      <c r="B4" s="11">
        <v>202</v>
      </c>
    </row>
    <row r="5" spans="1:2" x14ac:dyDescent="0.25">
      <c r="A5" s="10" t="s">
        <v>28</v>
      </c>
      <c r="B5" s="11">
        <v>100</v>
      </c>
    </row>
    <row r="6" spans="1:2" x14ac:dyDescent="0.25">
      <c r="A6" s="10" t="s">
        <v>30</v>
      </c>
      <c r="B6" s="11">
        <v>96</v>
      </c>
    </row>
    <row r="7" spans="1:2" x14ac:dyDescent="0.25">
      <c r="A7" s="10" t="s">
        <v>26</v>
      </c>
      <c r="B7" s="11">
        <v>72</v>
      </c>
    </row>
    <row r="8" spans="1:2" x14ac:dyDescent="0.25">
      <c r="A8" s="10" t="s">
        <v>23</v>
      </c>
      <c r="B8" s="11">
        <v>29</v>
      </c>
    </row>
    <row r="9" spans="1:2" x14ac:dyDescent="0.25">
      <c r="A9" s="10" t="s">
        <v>20</v>
      </c>
      <c r="B9" s="11">
        <v>17</v>
      </c>
    </row>
    <row r="10" spans="1:2" x14ac:dyDescent="0.25">
      <c r="A10" s="10" t="s">
        <v>24</v>
      </c>
      <c r="B10" s="11">
        <v>5</v>
      </c>
    </row>
    <row r="11" spans="1:2" x14ac:dyDescent="0.25">
      <c r="A11" s="10" t="s">
        <v>18</v>
      </c>
      <c r="B11" s="11">
        <v>3</v>
      </c>
    </row>
    <row r="12" spans="1:2" x14ac:dyDescent="0.25">
      <c r="A12" s="10" t="s">
        <v>27</v>
      </c>
      <c r="B12" s="11">
        <v>3</v>
      </c>
    </row>
    <row r="13" spans="1:2" x14ac:dyDescent="0.25">
      <c r="A13" s="10" t="s">
        <v>21</v>
      </c>
      <c r="B13" s="11">
        <v>1</v>
      </c>
    </row>
    <row r="14" spans="1:2" x14ac:dyDescent="0.25">
      <c r="A14" s="10" t="s">
        <v>19</v>
      </c>
      <c r="B14" s="11">
        <v>1</v>
      </c>
    </row>
    <row r="15" spans="1:2" x14ac:dyDescent="0.25">
      <c r="A15" s="10" t="s">
        <v>25</v>
      </c>
      <c r="B15" s="11">
        <v>1</v>
      </c>
    </row>
    <row r="16" spans="1:2" x14ac:dyDescent="0.25">
      <c r="A16" s="10" t="s">
        <v>22</v>
      </c>
      <c r="B16" s="11">
        <v>1</v>
      </c>
    </row>
    <row r="17" spans="1:2" x14ac:dyDescent="0.25">
      <c r="A17" s="10" t="s">
        <v>38</v>
      </c>
      <c r="B17" s="11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475F-20BE-43F2-ACDE-D37C95C1CE50}">
  <dimension ref="A3:B27"/>
  <sheetViews>
    <sheetView workbookViewId="0">
      <selection activeCell="A4" sqref="A4"/>
    </sheetView>
  </sheetViews>
  <sheetFormatPr defaultRowHeight="15" x14ac:dyDescent="0.25"/>
  <cols>
    <col min="1" max="1" width="34.85546875" bestFit="1" customWidth="1"/>
    <col min="2" max="2" width="24" bestFit="1" customWidth="1"/>
  </cols>
  <sheetData>
    <row r="3" spans="1:2" x14ac:dyDescent="0.25">
      <c r="A3" s="9" t="s">
        <v>37</v>
      </c>
      <c r="B3" t="s">
        <v>39</v>
      </c>
    </row>
    <row r="4" spans="1:2" x14ac:dyDescent="0.25">
      <c r="A4" s="10" t="s">
        <v>29</v>
      </c>
      <c r="B4" s="11">
        <v>202</v>
      </c>
    </row>
    <row r="5" spans="1:2" x14ac:dyDescent="0.25">
      <c r="A5" s="12" t="s">
        <v>8</v>
      </c>
      <c r="B5" s="11">
        <v>5</v>
      </c>
    </row>
    <row r="6" spans="1:2" x14ac:dyDescent="0.25">
      <c r="A6" s="12" t="s">
        <v>16</v>
      </c>
      <c r="B6" s="11">
        <v>5</v>
      </c>
    </row>
    <row r="7" spans="1:2" x14ac:dyDescent="0.25">
      <c r="A7" s="12" t="s">
        <v>10</v>
      </c>
      <c r="B7" s="11">
        <v>3</v>
      </c>
    </row>
    <row r="8" spans="1:2" x14ac:dyDescent="0.25">
      <c r="A8" s="12" t="s">
        <v>4</v>
      </c>
      <c r="B8" s="11">
        <v>45</v>
      </c>
    </row>
    <row r="9" spans="1:2" x14ac:dyDescent="0.25">
      <c r="A9" s="12" t="s">
        <v>7</v>
      </c>
      <c r="B9" s="11">
        <v>48</v>
      </c>
    </row>
    <row r="10" spans="1:2" x14ac:dyDescent="0.25">
      <c r="A10" s="12" t="s">
        <v>15</v>
      </c>
      <c r="B10" s="11">
        <v>1</v>
      </c>
    </row>
    <row r="11" spans="1:2" x14ac:dyDescent="0.25">
      <c r="A11" s="12" t="s">
        <v>13</v>
      </c>
      <c r="B11" s="11">
        <v>1</v>
      </c>
    </row>
    <row r="12" spans="1:2" x14ac:dyDescent="0.25">
      <c r="A12" s="12" t="s">
        <v>6</v>
      </c>
      <c r="B12" s="11">
        <v>31</v>
      </c>
    </row>
    <row r="13" spans="1:2" x14ac:dyDescent="0.25">
      <c r="A13" s="12" t="s">
        <v>5</v>
      </c>
      <c r="B13" s="11">
        <v>21</v>
      </c>
    </row>
    <row r="14" spans="1:2" x14ac:dyDescent="0.25">
      <c r="A14" s="12" t="s">
        <v>3</v>
      </c>
      <c r="B14" s="11">
        <v>42</v>
      </c>
    </row>
    <row r="15" spans="1:2" x14ac:dyDescent="0.25">
      <c r="A15" s="10" t="s">
        <v>28</v>
      </c>
      <c r="B15" s="11">
        <v>100</v>
      </c>
    </row>
    <row r="16" spans="1:2" x14ac:dyDescent="0.25">
      <c r="A16" s="10" t="s">
        <v>30</v>
      </c>
      <c r="B16" s="11">
        <v>96</v>
      </c>
    </row>
    <row r="17" spans="1:2" x14ac:dyDescent="0.25">
      <c r="A17" s="10" t="s">
        <v>26</v>
      </c>
      <c r="B17" s="11">
        <v>72</v>
      </c>
    </row>
    <row r="18" spans="1:2" x14ac:dyDescent="0.25">
      <c r="A18" s="10" t="s">
        <v>23</v>
      </c>
      <c r="B18" s="11">
        <v>29</v>
      </c>
    </row>
    <row r="19" spans="1:2" x14ac:dyDescent="0.25">
      <c r="A19" s="10" t="s">
        <v>20</v>
      </c>
      <c r="B19" s="11">
        <v>17</v>
      </c>
    </row>
    <row r="20" spans="1:2" x14ac:dyDescent="0.25">
      <c r="A20" s="10" t="s">
        <v>24</v>
      </c>
      <c r="B20" s="11">
        <v>5</v>
      </c>
    </row>
    <row r="21" spans="1:2" x14ac:dyDescent="0.25">
      <c r="A21" s="10" t="s">
        <v>18</v>
      </c>
      <c r="B21" s="11">
        <v>3</v>
      </c>
    </row>
    <row r="22" spans="1:2" x14ac:dyDescent="0.25">
      <c r="A22" s="10" t="s">
        <v>27</v>
      </c>
      <c r="B22" s="11">
        <v>3</v>
      </c>
    </row>
    <row r="23" spans="1:2" x14ac:dyDescent="0.25">
      <c r="A23" s="10" t="s">
        <v>21</v>
      </c>
      <c r="B23" s="11">
        <v>1</v>
      </c>
    </row>
    <row r="24" spans="1:2" x14ac:dyDescent="0.25">
      <c r="A24" s="10" t="s">
        <v>19</v>
      </c>
      <c r="B24" s="11">
        <v>1</v>
      </c>
    </row>
    <row r="25" spans="1:2" x14ac:dyDescent="0.25">
      <c r="A25" s="10" t="s">
        <v>25</v>
      </c>
      <c r="B25" s="11">
        <v>1</v>
      </c>
    </row>
    <row r="26" spans="1:2" x14ac:dyDescent="0.25">
      <c r="A26" s="10" t="s">
        <v>22</v>
      </c>
      <c r="B26" s="11">
        <v>1</v>
      </c>
    </row>
    <row r="27" spans="1:2" x14ac:dyDescent="0.25">
      <c r="A27" s="10" t="s">
        <v>38</v>
      </c>
      <c r="B27" s="11">
        <v>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3E88-6D1E-494E-B69C-BEFB5F718B58}">
  <dimension ref="A3:B23"/>
  <sheetViews>
    <sheetView tabSelected="1" workbookViewId="0">
      <selection activeCell="A22" sqref="A22"/>
    </sheetView>
  </sheetViews>
  <sheetFormatPr defaultRowHeight="15" x14ac:dyDescent="0.25"/>
  <cols>
    <col min="1" max="1" width="31.140625" bestFit="1" customWidth="1"/>
    <col min="2" max="2" width="24" bestFit="1" customWidth="1"/>
  </cols>
  <sheetData>
    <row r="3" spans="1:2" x14ac:dyDescent="0.25">
      <c r="A3" s="9" t="s">
        <v>37</v>
      </c>
      <c r="B3" t="s">
        <v>39</v>
      </c>
    </row>
    <row r="4" spans="1:2" x14ac:dyDescent="0.25">
      <c r="A4" s="10" t="s">
        <v>8</v>
      </c>
      <c r="B4" s="11">
        <v>12</v>
      </c>
    </row>
    <row r="5" spans="1:2" x14ac:dyDescent="0.25">
      <c r="A5" s="12" t="s">
        <v>30</v>
      </c>
      <c r="B5" s="11">
        <v>5</v>
      </c>
    </row>
    <row r="6" spans="1:2" x14ac:dyDescent="0.25">
      <c r="A6" s="12" t="s">
        <v>29</v>
      </c>
      <c r="B6" s="11">
        <v>5</v>
      </c>
    </row>
    <row r="7" spans="1:2" x14ac:dyDescent="0.25">
      <c r="A7" s="12" t="s">
        <v>23</v>
      </c>
      <c r="B7" s="11">
        <v>1</v>
      </c>
    </row>
    <row r="8" spans="1:2" x14ac:dyDescent="0.25">
      <c r="A8" s="12" t="s">
        <v>26</v>
      </c>
      <c r="B8" s="11">
        <v>1</v>
      </c>
    </row>
    <row r="9" spans="1:2" x14ac:dyDescent="0.25">
      <c r="A9" s="10" t="s">
        <v>16</v>
      </c>
      <c r="B9" s="11">
        <v>6</v>
      </c>
    </row>
    <row r="10" spans="1:2" x14ac:dyDescent="0.25">
      <c r="A10" s="10" t="s">
        <v>10</v>
      </c>
      <c r="B10" s="11">
        <v>5</v>
      </c>
    </row>
    <row r="11" spans="1:2" x14ac:dyDescent="0.25">
      <c r="A11" s="10" t="s">
        <v>4</v>
      </c>
      <c r="B11" s="11">
        <v>59</v>
      </c>
    </row>
    <row r="12" spans="1:2" x14ac:dyDescent="0.25">
      <c r="A12" s="10" t="s">
        <v>7</v>
      </c>
      <c r="B12" s="11">
        <v>102</v>
      </c>
    </row>
    <row r="13" spans="1:2" x14ac:dyDescent="0.25">
      <c r="A13" s="10" t="s">
        <v>14</v>
      </c>
      <c r="B13" s="11">
        <v>4</v>
      </c>
    </row>
    <row r="14" spans="1:2" x14ac:dyDescent="0.25">
      <c r="A14" s="10" t="s">
        <v>15</v>
      </c>
      <c r="B14" s="11">
        <v>2</v>
      </c>
    </row>
    <row r="15" spans="1:2" x14ac:dyDescent="0.25">
      <c r="A15" s="10" t="s">
        <v>11</v>
      </c>
      <c r="B15" s="11">
        <v>12</v>
      </c>
    </row>
    <row r="16" spans="1:2" x14ac:dyDescent="0.25">
      <c r="A16" s="10" t="s">
        <v>12</v>
      </c>
      <c r="B16" s="11">
        <v>19</v>
      </c>
    </row>
    <row r="17" spans="1:2" x14ac:dyDescent="0.25">
      <c r="A17" s="10" t="s">
        <v>9</v>
      </c>
      <c r="B17" s="11">
        <v>33</v>
      </c>
    </row>
    <row r="18" spans="1:2" x14ac:dyDescent="0.25">
      <c r="A18" s="10" t="s">
        <v>13</v>
      </c>
      <c r="B18" s="11">
        <v>12</v>
      </c>
    </row>
    <row r="19" spans="1:2" x14ac:dyDescent="0.25">
      <c r="A19" s="10" t="s">
        <v>6</v>
      </c>
      <c r="B19" s="11">
        <v>139</v>
      </c>
    </row>
    <row r="20" spans="1:2" x14ac:dyDescent="0.25">
      <c r="A20" s="10" t="s">
        <v>5</v>
      </c>
      <c r="B20" s="11">
        <v>52</v>
      </c>
    </row>
    <row r="21" spans="1:2" x14ac:dyDescent="0.25">
      <c r="A21" s="10" t="s">
        <v>17</v>
      </c>
      <c r="B21" s="11">
        <v>1</v>
      </c>
    </row>
    <row r="22" spans="1:2" x14ac:dyDescent="0.25">
      <c r="A22" s="10" t="s">
        <v>3</v>
      </c>
      <c r="B22" s="11">
        <v>73</v>
      </c>
    </row>
    <row r="23" spans="1:2" x14ac:dyDescent="0.25">
      <c r="A23" s="10" t="s">
        <v>38</v>
      </c>
      <c r="B23" s="11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Sterling Schuyler</cp:lastModifiedBy>
  <dcterms:created xsi:type="dcterms:W3CDTF">2024-09-05T19:02:52Z</dcterms:created>
  <dcterms:modified xsi:type="dcterms:W3CDTF">2024-09-05T19:40:40Z</dcterms:modified>
</cp:coreProperties>
</file>